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wangdayoung/Desktop/ai 제출물/"/>
    </mc:Choice>
  </mc:AlternateContent>
  <xr:revisionPtr revIDLastSave="0" documentId="13_ncr:1_{7498AF79-BCA7-DD44-9CFE-A0A76CE2B2A3}" xr6:coauthVersionLast="47" xr6:coauthVersionMax="47" xr10:uidLastSave="{00000000-0000-0000-0000-000000000000}"/>
  <bookViews>
    <workbookView xWindow="0" yWindow="620" windowWidth="44800" windowHeight="22780" xr2:uid="{00000000-000D-0000-FFFF-FFFF00000000}"/>
  </bookViews>
  <sheets>
    <sheet name="식단 최적화" sheetId="1" r:id="rId1"/>
  </sheets>
  <definedNames>
    <definedName name="solver_adj" localSheetId="0" hidden="1">'식단 최적화'!$I$2:$K$18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100</definedName>
    <definedName name="solver_lhs1" localSheetId="0" hidden="1">'식단 최적화'!$I$2:$K$18</definedName>
    <definedName name="solver_lhs10" localSheetId="0" hidden="1">'식단 최적화'!$W$7</definedName>
    <definedName name="solver_lhs11" localSheetId="0" hidden="1">'식단 최적화'!$W$8</definedName>
    <definedName name="solver_lhs12" localSheetId="0" hidden="1">'식단 최적화'!$W$9</definedName>
    <definedName name="solver_lhs2" localSheetId="0" hidden="1">'식단 최적화'!$M$13</definedName>
    <definedName name="solver_lhs3" localSheetId="0" hidden="1">'식단 최적화'!$N$13</definedName>
    <definedName name="solver_lhs4" localSheetId="0" hidden="1">'식단 최적화'!$O$13</definedName>
    <definedName name="solver_lhs5" localSheetId="0" hidden="1">'식단 최적화'!$P$3</definedName>
    <definedName name="solver_lhs6" localSheetId="0" hidden="1">'식단 최적화'!$P$3</definedName>
    <definedName name="solver_lhs7" localSheetId="0" hidden="1">'식단 최적화'!$W$4</definedName>
    <definedName name="solver_lhs8" localSheetId="0" hidden="1">'식단 최적화'!$W$5</definedName>
    <definedName name="solver_lhs9" localSheetId="0" hidden="1">'식단 최적화'!$W$6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12</definedName>
    <definedName name="solver_opt" localSheetId="0" hidden="1">'식단 최적화'!$P$5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1</definedName>
    <definedName name="solver_rel11" localSheetId="0" hidden="1">3</definedName>
    <definedName name="solver_rel12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el8" localSheetId="0" hidden="1">1</definedName>
    <definedName name="solver_rel9" localSheetId="0" hidden="1">3</definedName>
    <definedName name="solver_rhs1" localSheetId="0" hidden="1">0</definedName>
    <definedName name="solver_rhs10" localSheetId="0" hidden="1">0</definedName>
    <definedName name="solver_rhs11" localSheetId="0" hidden="1">0</definedName>
    <definedName name="solver_rhs12" localSheetId="0" hidden="1">0</definedName>
    <definedName name="solver_rhs2" localSheetId="0" hidden="1">'식단 최적화'!$W$10</definedName>
    <definedName name="solver_rhs3" localSheetId="0" hidden="1">'식단 최적화'!$W$11</definedName>
    <definedName name="solver_rhs4" localSheetId="0" hidden="1">'식단 최적화'!$W$12</definedName>
    <definedName name="solver_rhs5" localSheetId="0" hidden="1">'식단 최적화'!$W$3</definedName>
    <definedName name="solver_rhs6" localSheetId="0" hidden="1">'식단 최적화'!$W$2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N13" i="1"/>
  <c r="M13" i="1"/>
  <c r="O11" i="1"/>
  <c r="N11" i="1"/>
  <c r="M11" i="1"/>
  <c r="O9" i="1"/>
  <c r="N9" i="1"/>
  <c r="M9" i="1"/>
  <c r="O7" i="1"/>
  <c r="N7" i="1"/>
  <c r="M7" i="1"/>
  <c r="O5" i="1"/>
  <c r="N5" i="1"/>
  <c r="M5" i="1"/>
  <c r="O3" i="1"/>
  <c r="N3" i="1"/>
  <c r="M3" i="1"/>
  <c r="P11" i="1" l="1"/>
  <c r="P7" i="1"/>
  <c r="R7" i="1" s="1"/>
  <c r="P3" i="1"/>
  <c r="P5" i="1"/>
  <c r="P9" i="1"/>
  <c r="W5" i="1" s="1"/>
  <c r="R3" i="1" l="1"/>
  <c r="W4" i="1"/>
  <c r="T7" i="1"/>
  <c r="W9" i="1"/>
  <c r="W8" i="1"/>
  <c r="W7" i="1"/>
  <c r="T3" i="1"/>
  <c r="R5" i="1"/>
  <c r="T5" i="1" s="1"/>
  <c r="W6" i="1"/>
</calcChain>
</file>

<file path=xl/sharedStrings.xml><?xml version="1.0" encoding="utf-8"?>
<sst xmlns="http://schemas.openxmlformats.org/spreadsheetml/2006/main" count="73" uniqueCount="56">
  <si>
    <t>음식명</t>
  </si>
  <si>
    <t>무게(g)</t>
  </si>
  <si>
    <t>칼로리(kcal)</t>
  </si>
  <si>
    <t>단백질(g)</t>
  </si>
  <si>
    <t>지방(g)</t>
  </si>
  <si>
    <t>탄수화물(g)</t>
  </si>
  <si>
    <t>가격(원)</t>
  </si>
  <si>
    <t>아침(인분)</t>
  </si>
  <si>
    <t>점심(인분)</t>
  </si>
  <si>
    <t>저녁(인분)</t>
  </si>
  <si>
    <t>아침 합계</t>
  </si>
  <si>
    <t>점심 합계</t>
  </si>
  <si>
    <t>저녁 합계</t>
  </si>
  <si>
    <t>하루 전체</t>
  </si>
  <si>
    <t>삶은계란</t>
  </si>
  <si>
    <t>칼로리</t>
  </si>
  <si>
    <t>탄수화물 칼로리</t>
  </si>
  <si>
    <t>탄수화물%</t>
  </si>
  <si>
    <t>최소칼로리</t>
  </si>
  <si>
    <t>잡채</t>
  </si>
  <si>
    <t>최대칼로리</t>
  </si>
  <si>
    <t>사과</t>
  </si>
  <si>
    <t>단백질</t>
  </si>
  <si>
    <t>단백질 칼로리</t>
  </si>
  <si>
    <t>단백질%</t>
  </si>
  <si>
    <t>탄수화물 최소(선형)</t>
  </si>
  <si>
    <t>제육볶음</t>
  </si>
  <si>
    <t>탄수화물 최대(선형)</t>
  </si>
  <si>
    <t>두부</t>
  </si>
  <si>
    <t>지방</t>
  </si>
  <si>
    <t>지방 칼로리</t>
  </si>
  <si>
    <t>지방%</t>
  </si>
  <si>
    <t>단백질 최소(선형)</t>
  </si>
  <si>
    <t>물만두</t>
  </si>
  <si>
    <t>단백질 최대(선형)</t>
  </si>
  <si>
    <t>고등어 구이</t>
  </si>
  <si>
    <t>탄수화물</t>
  </si>
  <si>
    <t>지방 최소(선형)</t>
  </si>
  <si>
    <t>돼지고기 김치찌개</t>
  </si>
  <si>
    <t>지방 최대(선형)</t>
  </si>
  <si>
    <t>고추참치</t>
  </si>
  <si>
    <t>가격</t>
  </si>
  <si>
    <t>아침음식최소</t>
  </si>
  <si>
    <t>차돌된장찌개</t>
  </si>
  <si>
    <t>점심음식최소</t>
  </si>
  <si>
    <t>카레</t>
  </si>
  <si>
    <t>음식개수</t>
  </si>
  <si>
    <t>저녁음식최소</t>
  </si>
  <si>
    <t>쌀밥</t>
  </si>
  <si>
    <t>참치마요 삼각김밥</t>
  </si>
  <si>
    <t>삶은감자</t>
  </si>
  <si>
    <t>낫또</t>
  </si>
  <si>
    <t>계란말이</t>
  </si>
  <si>
    <t>떡갈비</t>
  </si>
  <si>
    <t>검증용</t>
    <phoneticPr fontId="11" type="noConversion"/>
  </si>
  <si>
    <t>제약조건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</si>
</sst>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b/>
      <sz val="9"/>
      <name val="맑은 고딕"/>
      <family val="2"/>
      <charset val="129"/>
    </font>
    <font>
      <b/>
      <sz val="10"/>
      <color rgb="FF0070C0"/>
      <name val="맑은 고딕"/>
      <family val="2"/>
      <charset val="129"/>
    </font>
    <font>
      <b/>
      <sz val="11"/>
      <color rgb="FF0000FF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808080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b/>
      <sz val="10"/>
      <color rgb="FF0000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10" fillId="0" borderId="0" xfId="0" applyFont="1"/>
    <xf numFmtId="0" fontId="5" fillId="6" borderId="1" xfId="0" applyFont="1" applyFill="1" applyBorder="1" applyAlignment="1">
      <alignment horizontal="center" vertical="center"/>
    </xf>
    <xf numFmtId="0" fontId="0" fillId="0" borderId="2" xfId="0" applyBorder="1"/>
    <xf numFmtId="0" fontId="2" fillId="7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zoomScale="89" workbookViewId="0">
      <selection activeCell="P5" sqref="P5"/>
    </sheetView>
  </sheetViews>
  <sheetFormatPr baseColWidth="10" defaultColWidth="8.83203125" defaultRowHeight="17"/>
  <cols>
    <col min="1" max="1" width="18" customWidth="1"/>
    <col min="2" max="2" width="10" customWidth="1"/>
    <col min="3" max="3" width="12" customWidth="1"/>
    <col min="4" max="4" width="11" customWidth="1"/>
    <col min="5" max="5" width="10" customWidth="1"/>
    <col min="6" max="6" width="13" customWidth="1"/>
    <col min="7" max="7" width="11" customWidth="1"/>
    <col min="9" max="11" width="12" customWidth="1"/>
    <col min="13" max="16" width="12" customWidth="1"/>
    <col min="18" max="18" width="16" customWidth="1"/>
    <col min="20" max="20" width="13" customWidth="1"/>
    <col min="22" max="22" width="18" customWidth="1"/>
    <col min="23" max="23" width="14" customWidth="1"/>
  </cols>
  <sheetData>
    <row r="1" spans="1:23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  <c r="K1" s="2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R1" s="23" t="s">
        <v>54</v>
      </c>
      <c r="S1" s="24"/>
      <c r="T1" s="22"/>
      <c r="V1" s="21" t="s">
        <v>55</v>
      </c>
      <c r="W1" s="22"/>
    </row>
    <row r="2" spans="1:23">
      <c r="A2" s="5" t="s">
        <v>14</v>
      </c>
      <c r="B2" s="6">
        <v>50</v>
      </c>
      <c r="C2" s="6">
        <v>71</v>
      </c>
      <c r="D2" s="6">
        <v>6</v>
      </c>
      <c r="E2" s="6">
        <v>5</v>
      </c>
      <c r="F2" s="6">
        <v>0.5</v>
      </c>
      <c r="G2" s="6">
        <v>500</v>
      </c>
      <c r="I2" s="7">
        <v>0</v>
      </c>
      <c r="J2" s="7">
        <v>0</v>
      </c>
      <c r="K2" s="7">
        <v>0</v>
      </c>
      <c r="M2" s="8" t="s">
        <v>15</v>
      </c>
      <c r="N2" s="8" t="s">
        <v>15</v>
      </c>
      <c r="O2" s="8" t="s">
        <v>15</v>
      </c>
      <c r="P2" s="8" t="s">
        <v>15</v>
      </c>
      <c r="R2" s="9" t="s">
        <v>16</v>
      </c>
      <c r="T2" s="9" t="s">
        <v>17</v>
      </c>
      <c r="V2" s="10" t="s">
        <v>18</v>
      </c>
      <c r="W2" s="11">
        <v>2000</v>
      </c>
    </row>
    <row r="3" spans="1:23">
      <c r="A3" s="5" t="s">
        <v>19</v>
      </c>
      <c r="B3" s="6">
        <v>75</v>
      </c>
      <c r="C3" s="6">
        <v>257</v>
      </c>
      <c r="D3" s="6">
        <v>2</v>
      </c>
      <c r="E3" s="6">
        <v>5</v>
      </c>
      <c r="F3" s="6">
        <v>51</v>
      </c>
      <c r="G3" s="6">
        <v>1495</v>
      </c>
      <c r="I3" s="7">
        <v>0</v>
      </c>
      <c r="J3" s="7">
        <v>0</v>
      </c>
      <c r="K3" s="7">
        <v>0</v>
      </c>
      <c r="M3" s="11">
        <f>SUMPRODUCT(C2:C18,I2:I18)</f>
        <v>967.03818904441232</v>
      </c>
      <c r="N3" s="11">
        <f>SUMPRODUCT(C2:C18,J2:J18)</f>
        <v>297</v>
      </c>
      <c r="O3" s="11">
        <f>SUMPRODUCT(C2:C18,K2:K18)</f>
        <v>1235.9618109555877</v>
      </c>
      <c r="P3" s="12">
        <f>M3+N3+O3</f>
        <v>2500</v>
      </c>
      <c r="R3" s="13">
        <f>P9*4</f>
        <v>1625.0000000000005</v>
      </c>
      <c r="T3" s="14">
        <f>IF(P3=0,0,R3/P3*100)</f>
        <v>65.000000000000014</v>
      </c>
      <c r="V3" s="10" t="s">
        <v>20</v>
      </c>
      <c r="W3" s="11">
        <v>2500</v>
      </c>
    </row>
    <row r="4" spans="1:23">
      <c r="A4" s="5" t="s">
        <v>21</v>
      </c>
      <c r="B4" s="6">
        <v>150</v>
      </c>
      <c r="C4" s="6">
        <v>63.8</v>
      </c>
      <c r="D4" s="6">
        <v>0.5</v>
      </c>
      <c r="E4" s="6">
        <v>0.2</v>
      </c>
      <c r="F4" s="6">
        <v>15</v>
      </c>
      <c r="G4" s="6">
        <v>3400</v>
      </c>
      <c r="I4" s="7">
        <v>0</v>
      </c>
      <c r="J4" s="7">
        <v>0</v>
      </c>
      <c r="K4" s="7">
        <v>0</v>
      </c>
      <c r="M4" s="8" t="s">
        <v>22</v>
      </c>
      <c r="N4" s="8" t="s">
        <v>22</v>
      </c>
      <c r="O4" s="8" t="s">
        <v>22</v>
      </c>
      <c r="P4" s="15" t="s">
        <v>22</v>
      </c>
      <c r="R4" s="9" t="s">
        <v>23</v>
      </c>
      <c r="T4" s="9" t="s">
        <v>24</v>
      </c>
      <c r="V4" s="10" t="s">
        <v>25</v>
      </c>
      <c r="W4" s="11">
        <f>P9*4-P3*0.55</f>
        <v>250.00000000000045</v>
      </c>
    </row>
    <row r="5" spans="1:23">
      <c r="A5" s="5" t="s">
        <v>26</v>
      </c>
      <c r="B5" s="6">
        <v>200</v>
      </c>
      <c r="C5" s="6">
        <v>430</v>
      </c>
      <c r="D5" s="6">
        <v>25</v>
      </c>
      <c r="E5" s="6">
        <v>30</v>
      </c>
      <c r="F5" s="6">
        <v>15</v>
      </c>
      <c r="G5" s="6">
        <v>3500</v>
      </c>
      <c r="I5" s="7">
        <v>0</v>
      </c>
      <c r="J5" s="7">
        <v>0</v>
      </c>
      <c r="K5" s="7">
        <v>0</v>
      </c>
      <c r="M5" s="11">
        <f>SUMPRODUCT(D2:D18,I2:I18)</f>
        <v>96.703818904441235</v>
      </c>
      <c r="N5" s="11">
        <f>SUMPRODUCT(D2:D18,J2:J18)</f>
        <v>5</v>
      </c>
      <c r="O5" s="11">
        <f>SUMPRODUCT(D2:D18,K2:K18)</f>
        <v>23.296181095558875</v>
      </c>
      <c r="P5" s="16">
        <f>M5+N5+O5</f>
        <v>125.00000000000011</v>
      </c>
      <c r="R5" s="13">
        <f>P5*4</f>
        <v>500.00000000000045</v>
      </c>
      <c r="T5" s="14">
        <f>IF(P3=0,0,R5/P3*100)</f>
        <v>20.000000000000018</v>
      </c>
      <c r="V5" s="10" t="s">
        <v>27</v>
      </c>
      <c r="W5" s="11">
        <f>P9*4-P3*0.65</f>
        <v>0</v>
      </c>
    </row>
    <row r="6" spans="1:23">
      <c r="A6" s="5" t="s">
        <v>28</v>
      </c>
      <c r="B6" s="6">
        <v>100</v>
      </c>
      <c r="C6" s="6">
        <v>92.9</v>
      </c>
      <c r="D6" s="6">
        <v>9.4</v>
      </c>
      <c r="E6" s="6">
        <v>5.3</v>
      </c>
      <c r="F6" s="6">
        <v>1.9</v>
      </c>
      <c r="G6" s="6">
        <v>500</v>
      </c>
      <c r="I6" s="7">
        <v>0</v>
      </c>
      <c r="J6" s="7">
        <v>0</v>
      </c>
      <c r="K6" s="7">
        <v>0</v>
      </c>
      <c r="M6" s="8" t="s">
        <v>29</v>
      </c>
      <c r="N6" s="8" t="s">
        <v>29</v>
      </c>
      <c r="O6" s="8" t="s">
        <v>29</v>
      </c>
      <c r="P6" s="8" t="s">
        <v>29</v>
      </c>
      <c r="R6" s="9" t="s">
        <v>30</v>
      </c>
      <c r="T6" s="9" t="s">
        <v>31</v>
      </c>
      <c r="V6" s="10" t="s">
        <v>32</v>
      </c>
      <c r="W6" s="11">
        <f>P5*4-P3*0.07</f>
        <v>325.00000000000045</v>
      </c>
    </row>
    <row r="7" spans="1:23">
      <c r="A7" s="5" t="s">
        <v>33</v>
      </c>
      <c r="B7" s="6">
        <v>370</v>
      </c>
      <c r="C7" s="6">
        <v>696</v>
      </c>
      <c r="D7" s="6">
        <v>29</v>
      </c>
      <c r="E7" s="6">
        <v>32</v>
      </c>
      <c r="F7" s="6">
        <v>73</v>
      </c>
      <c r="G7" s="6">
        <v>4500</v>
      </c>
      <c r="I7" s="7">
        <v>0</v>
      </c>
      <c r="J7" s="7">
        <v>0</v>
      </c>
      <c r="K7" s="7">
        <v>0.14400092160589256</v>
      </c>
      <c r="M7" s="11">
        <f>SUMPRODUCT(E2:E18,I2:I18)</f>
        <v>32.234606301480412</v>
      </c>
      <c r="N7" s="11">
        <f>SUMPRODUCT(E2:E18,J2:J18)</f>
        <v>1</v>
      </c>
      <c r="O7" s="11">
        <f>SUMPRODUCT(E2:E18,K2:K18)</f>
        <v>8.4320603651861603</v>
      </c>
      <c r="P7" s="12">
        <f>M7+N7+O7</f>
        <v>41.666666666666572</v>
      </c>
      <c r="R7" s="13">
        <f>P7*9</f>
        <v>374.99999999999915</v>
      </c>
      <c r="T7" s="14">
        <f>IF(P3=0,0,R7/P3*100)</f>
        <v>14.999999999999966</v>
      </c>
      <c r="V7" s="10" t="s">
        <v>34</v>
      </c>
      <c r="W7" s="11">
        <f>P5*4-P3*0.2</f>
        <v>4.5474735088646412E-13</v>
      </c>
    </row>
    <row r="8" spans="1:23">
      <c r="A8" s="5" t="s">
        <v>35</v>
      </c>
      <c r="B8" s="6">
        <v>100</v>
      </c>
      <c r="C8" s="6">
        <v>272</v>
      </c>
      <c r="D8" s="6">
        <v>24</v>
      </c>
      <c r="E8" s="6">
        <v>19</v>
      </c>
      <c r="F8" s="6">
        <v>1</v>
      </c>
      <c r="G8" s="6">
        <v>2500</v>
      </c>
      <c r="I8" s="7">
        <v>0</v>
      </c>
      <c r="J8" s="7">
        <v>0</v>
      </c>
      <c r="K8" s="7">
        <v>0</v>
      </c>
      <c r="M8" s="8" t="s">
        <v>36</v>
      </c>
      <c r="N8" s="8" t="s">
        <v>36</v>
      </c>
      <c r="O8" s="8" t="s">
        <v>36</v>
      </c>
      <c r="P8" s="8" t="s">
        <v>36</v>
      </c>
      <c r="V8" s="10" t="s">
        <v>37</v>
      </c>
      <c r="W8" s="11">
        <f>P7*9-P3*0.15</f>
        <v>-8.5265128291212022E-13</v>
      </c>
    </row>
    <row r="9" spans="1:23">
      <c r="A9" s="5" t="s">
        <v>38</v>
      </c>
      <c r="B9" s="6">
        <v>460</v>
      </c>
      <c r="C9" s="6">
        <v>240</v>
      </c>
      <c r="D9" s="6">
        <v>24</v>
      </c>
      <c r="E9" s="6">
        <v>8</v>
      </c>
      <c r="F9" s="6">
        <v>18</v>
      </c>
      <c r="G9" s="6">
        <v>7410</v>
      </c>
      <c r="I9" s="7">
        <v>4.0293257876850515</v>
      </c>
      <c r="J9" s="7">
        <v>0</v>
      </c>
      <c r="K9" s="7">
        <v>0</v>
      </c>
      <c r="M9" s="11">
        <f>SUMPRODUCT(F2:F18,I2:I18)</f>
        <v>72.52786417833093</v>
      </c>
      <c r="N9" s="11">
        <f>SUMPRODUCT(F2:F18,J2:J18)</f>
        <v>67</v>
      </c>
      <c r="O9" s="11">
        <f>SUMPRODUCT(F2:F18,K2:K18)</f>
        <v>266.72213582166921</v>
      </c>
      <c r="P9" s="12">
        <f>M9+N9+O9</f>
        <v>406.25000000000011</v>
      </c>
      <c r="V9" s="10" t="s">
        <v>39</v>
      </c>
      <c r="W9" s="11">
        <f>P7*9-P3*0.3</f>
        <v>-375.00000000000085</v>
      </c>
    </row>
    <row r="10" spans="1:23">
      <c r="A10" s="5" t="s">
        <v>40</v>
      </c>
      <c r="B10" s="6">
        <v>100</v>
      </c>
      <c r="C10" s="6">
        <v>142</v>
      </c>
      <c r="D10" s="6">
        <v>10</v>
      </c>
      <c r="E10" s="6">
        <v>6</v>
      </c>
      <c r="F10" s="6">
        <v>12</v>
      </c>
      <c r="G10" s="6">
        <v>3300</v>
      </c>
      <c r="I10" s="7">
        <v>0</v>
      </c>
      <c r="J10" s="7">
        <v>0</v>
      </c>
      <c r="K10" s="7">
        <v>0</v>
      </c>
      <c r="M10" s="8" t="s">
        <v>41</v>
      </c>
      <c r="N10" s="8" t="s">
        <v>41</v>
      </c>
      <c r="O10" s="8" t="s">
        <v>41</v>
      </c>
      <c r="P10" s="8" t="s">
        <v>41</v>
      </c>
      <c r="V10" s="10" t="s">
        <v>42</v>
      </c>
      <c r="W10" s="11">
        <v>1</v>
      </c>
    </row>
    <row r="11" spans="1:23">
      <c r="A11" s="5" t="s">
        <v>43</v>
      </c>
      <c r="B11" s="6">
        <v>460</v>
      </c>
      <c r="C11" s="6">
        <v>280</v>
      </c>
      <c r="D11" s="6">
        <v>17</v>
      </c>
      <c r="E11" s="6">
        <v>12</v>
      </c>
      <c r="F11" s="6">
        <v>26</v>
      </c>
      <c r="G11" s="6">
        <v>7000</v>
      </c>
      <c r="I11" s="7">
        <v>0</v>
      </c>
      <c r="J11" s="7">
        <v>0</v>
      </c>
      <c r="K11" s="7">
        <v>0</v>
      </c>
      <c r="M11" s="17">
        <f>SUMPRODUCT(G2:G18,I2:I18)</f>
        <v>29857.30408674623</v>
      </c>
      <c r="N11" s="17">
        <f>SUMPRODUCT(G2:G18,J2:J18)</f>
        <v>1000</v>
      </c>
      <c r="O11" s="17">
        <f>SUMPRODUCT(G2:G18,K2:K18)</f>
        <v>4472.035021024114</v>
      </c>
      <c r="P11" s="18">
        <f>M11+N11+O11</f>
        <v>35329.339107770342</v>
      </c>
      <c r="V11" s="10" t="s">
        <v>44</v>
      </c>
      <c r="W11" s="11">
        <v>1</v>
      </c>
    </row>
    <row r="12" spans="1:23">
      <c r="A12" s="5" t="s">
        <v>45</v>
      </c>
      <c r="B12" s="6">
        <v>200</v>
      </c>
      <c r="C12" s="6">
        <v>171</v>
      </c>
      <c r="D12" s="6">
        <v>5</v>
      </c>
      <c r="E12" s="6">
        <v>7</v>
      </c>
      <c r="F12" s="6">
        <v>22</v>
      </c>
      <c r="G12" s="6">
        <v>1980</v>
      </c>
      <c r="I12" s="7">
        <v>0</v>
      </c>
      <c r="J12" s="7">
        <v>0</v>
      </c>
      <c r="K12" s="7">
        <v>0</v>
      </c>
      <c r="M12" s="8" t="s">
        <v>46</v>
      </c>
      <c r="N12" s="8" t="s">
        <v>46</v>
      </c>
      <c r="O12" s="8" t="s">
        <v>46</v>
      </c>
      <c r="V12" s="10" t="s">
        <v>47</v>
      </c>
      <c r="W12" s="11">
        <v>1</v>
      </c>
    </row>
    <row r="13" spans="1:23">
      <c r="A13" s="5" t="s">
        <v>48</v>
      </c>
      <c r="B13" s="6">
        <v>210</v>
      </c>
      <c r="C13" s="6">
        <v>297</v>
      </c>
      <c r="D13" s="6">
        <v>5</v>
      </c>
      <c r="E13" s="6">
        <v>1</v>
      </c>
      <c r="F13" s="6">
        <v>67</v>
      </c>
      <c r="G13" s="6">
        <v>1000</v>
      </c>
      <c r="I13" s="7">
        <v>0</v>
      </c>
      <c r="J13" s="7">
        <v>1</v>
      </c>
      <c r="K13" s="7">
        <v>3.8240308737975979</v>
      </c>
      <c r="M13" s="19">
        <f>SUM(I2:I18)</f>
        <v>4.0293257876850515</v>
      </c>
      <c r="N13" s="19">
        <f>SUM(J2:J18)</f>
        <v>1</v>
      </c>
      <c r="O13" s="19">
        <f>SUM(K2:K18)</f>
        <v>3.9680317954034905</v>
      </c>
    </row>
    <row r="14" spans="1:23">
      <c r="A14" s="5" t="s">
        <v>49</v>
      </c>
      <c r="B14" s="6">
        <v>110</v>
      </c>
      <c r="C14" s="6">
        <v>180</v>
      </c>
      <c r="D14" s="6">
        <v>5</v>
      </c>
      <c r="E14" s="6">
        <v>8</v>
      </c>
      <c r="F14" s="6">
        <v>22</v>
      </c>
      <c r="G14" s="6">
        <v>1700</v>
      </c>
      <c r="I14" s="7">
        <v>0</v>
      </c>
      <c r="J14" s="7">
        <v>0</v>
      </c>
      <c r="K14" s="7">
        <v>0</v>
      </c>
    </row>
    <row r="15" spans="1:23">
      <c r="A15" s="5" t="s">
        <v>50</v>
      </c>
      <c r="B15" s="6">
        <v>200</v>
      </c>
      <c r="C15" s="6">
        <v>176.76</v>
      </c>
      <c r="D15" s="6">
        <v>3.72</v>
      </c>
      <c r="E15" s="6">
        <v>0.2</v>
      </c>
      <c r="F15" s="6">
        <v>40.020000000000003</v>
      </c>
      <c r="G15" s="6">
        <v>750</v>
      </c>
      <c r="I15" s="7">
        <v>0</v>
      </c>
      <c r="J15" s="7">
        <v>0</v>
      </c>
      <c r="K15" s="7">
        <v>0</v>
      </c>
    </row>
    <row r="16" spans="1:23">
      <c r="A16" s="5" t="s">
        <v>51</v>
      </c>
      <c r="B16" s="6">
        <v>40</v>
      </c>
      <c r="C16" s="6">
        <v>89</v>
      </c>
      <c r="D16" s="6">
        <v>7</v>
      </c>
      <c r="E16" s="6">
        <v>5</v>
      </c>
      <c r="F16" s="6">
        <v>4</v>
      </c>
      <c r="G16" s="6">
        <v>700</v>
      </c>
      <c r="I16" s="7">
        <v>0</v>
      </c>
      <c r="J16" s="7">
        <v>0</v>
      </c>
      <c r="K16" s="7">
        <v>0</v>
      </c>
      <c r="M16" s="20"/>
    </row>
    <row r="17" spans="1:11">
      <c r="A17" s="5" t="s">
        <v>52</v>
      </c>
      <c r="B17" s="6">
        <v>100</v>
      </c>
      <c r="C17" s="6">
        <v>133</v>
      </c>
      <c r="D17" s="6">
        <v>10</v>
      </c>
      <c r="E17" s="6">
        <v>9</v>
      </c>
      <c r="F17" s="6">
        <v>3</v>
      </c>
      <c r="G17" s="6">
        <v>1000</v>
      </c>
      <c r="I17" s="7">
        <v>0</v>
      </c>
      <c r="J17" s="7">
        <v>0</v>
      </c>
      <c r="K17" s="7">
        <v>0</v>
      </c>
    </row>
    <row r="18" spans="1:11">
      <c r="A18" s="5" t="s">
        <v>53</v>
      </c>
      <c r="B18" s="6">
        <v>100</v>
      </c>
      <c r="C18" s="6">
        <v>318</v>
      </c>
      <c r="D18" s="6">
        <v>12</v>
      </c>
      <c r="E18" s="6">
        <v>26</v>
      </c>
      <c r="F18" s="6">
        <v>9</v>
      </c>
      <c r="G18" s="6">
        <v>2200</v>
      </c>
      <c r="I18" s="7">
        <v>0</v>
      </c>
      <c r="J18" s="7">
        <v>0</v>
      </c>
      <c r="K18" s="7">
        <v>0</v>
      </c>
    </row>
  </sheetData>
  <mergeCells count="2">
    <mergeCell ref="V1:W1"/>
    <mergeCell ref="R1:T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식단 최적화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황다영</cp:lastModifiedBy>
  <dcterms:created xsi:type="dcterms:W3CDTF">2025-11-23T10:07:01Z</dcterms:created>
  <dcterms:modified xsi:type="dcterms:W3CDTF">2025-11-28T07:53:15Z</dcterms:modified>
</cp:coreProperties>
</file>