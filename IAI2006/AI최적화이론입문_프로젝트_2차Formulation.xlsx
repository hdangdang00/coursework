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wangdayoung/Desktop/ai 제출물/"/>
    </mc:Choice>
  </mc:AlternateContent>
  <xr:revisionPtr revIDLastSave="0" documentId="13_ncr:1_{ACD32072-41BD-7943-850D-0B5F21F3613F}" xr6:coauthVersionLast="47" xr6:coauthVersionMax="47" xr10:uidLastSave="{00000000-0000-0000-0000-000000000000}"/>
  <bookViews>
    <workbookView xWindow="0" yWindow="620" windowWidth="44800" windowHeight="22780" xr2:uid="{00000000-000D-0000-FFFF-FFFF00000000}"/>
  </bookViews>
  <sheets>
    <sheet name="식단 최적화 MIP" sheetId="2" r:id="rId1"/>
  </sheets>
  <definedNames>
    <definedName name="solver_adj" localSheetId="0" hidden="1">'식단 최적화 MIP'!$J$2:$L$18,'식단 최적화 MIP'!$AA$3:$AC$7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300</definedName>
    <definedName name="solver_lhs1" localSheetId="0" hidden="1">'식단 최적화 MIP'!$AA$3:$AC$7</definedName>
    <definedName name="solver_lhs10" localSheetId="0" hidden="1">'식단 최적화 MIP'!$J$11:$L$11</definedName>
    <definedName name="solver_lhs11" localSheetId="0" hidden="1">'식단 최적화 MIP'!$J$12:$L$12</definedName>
    <definedName name="solver_lhs12" localSheetId="0" hidden="1">'식단 최적화 MIP'!$J$13:$L$13</definedName>
    <definedName name="solver_lhs13" localSheetId="0" hidden="1">'식단 최적화 MIP'!$J$14:$L$14</definedName>
    <definedName name="solver_lhs14" localSheetId="0" hidden="1">'식단 최적화 MIP'!$J$15:$L$15</definedName>
    <definedName name="solver_lhs15" localSheetId="0" hidden="1">'식단 최적화 MIP'!$J$16:$L$16</definedName>
    <definedName name="solver_lhs16" localSheetId="0" hidden="1">'식단 최적화 MIP'!$J$17:$L$17</definedName>
    <definedName name="solver_lhs17" localSheetId="0" hidden="1">'식단 최적화 MIP'!$J$18:$L$18</definedName>
    <definedName name="solver_lhs18" localSheetId="0" hidden="1">'식단 최적화 MIP'!$J$2:$L$18</definedName>
    <definedName name="solver_lhs19" localSheetId="0" hidden="1">'식단 최적화 MIP'!$J$2:$L$18</definedName>
    <definedName name="solver_lhs2" localSheetId="0" hidden="1">'식단 최적화 MIP'!$AA$8</definedName>
    <definedName name="solver_lhs20" localSheetId="0" hidden="1">'식단 최적화 MIP'!$J$2:$L$2</definedName>
    <definedName name="solver_lhs21" localSheetId="0" hidden="1">'식단 최적화 MIP'!$J$3:$L$3</definedName>
    <definedName name="solver_lhs22" localSheetId="0" hidden="1">'식단 최적화 MIP'!$J$4:$L$4</definedName>
    <definedName name="solver_lhs23" localSheetId="0" hidden="1">'식단 최적화 MIP'!$J$5:$L$5</definedName>
    <definedName name="solver_lhs24" localSheetId="0" hidden="1">'식단 최적화 MIP'!$J$6:$L$6</definedName>
    <definedName name="solver_lhs25" localSheetId="0" hidden="1">'식단 최적화 MIP'!$J$7:$L$7</definedName>
    <definedName name="solver_lhs26" localSheetId="0" hidden="1">'식단 최적화 MIP'!$J$8:$L$8</definedName>
    <definedName name="solver_lhs27" localSheetId="0" hidden="1">'식단 최적화 MIP'!$J$9:$L$9</definedName>
    <definedName name="solver_lhs28" localSheetId="0" hidden="1">'식단 최적화 MIP'!$N$13</definedName>
    <definedName name="solver_lhs29" localSheetId="0" hidden="1">'식단 최적화 MIP'!$N$3</definedName>
    <definedName name="solver_lhs3" localSheetId="0" hidden="1">'식단 최적화 MIP'!$AB$8</definedName>
    <definedName name="solver_lhs30" localSheetId="0" hidden="1">'식단 최적화 MIP'!$O$13</definedName>
    <definedName name="solver_lhs31" localSheetId="0" hidden="1">'식단 최적화 MIP'!$O$3</definedName>
    <definedName name="solver_lhs32" localSheetId="0" hidden="1">'식단 최적화 MIP'!$P$13</definedName>
    <definedName name="solver_lhs33" localSheetId="0" hidden="1">'식단 최적화 MIP'!$P$3</definedName>
    <definedName name="solver_lhs34" localSheetId="0" hidden="1">'식단 최적화 MIP'!$Q$3</definedName>
    <definedName name="solver_lhs35" localSheetId="0" hidden="1">'식단 최적화 MIP'!$Q$3</definedName>
    <definedName name="solver_lhs36" localSheetId="0" hidden="1">'식단 최적화 MIP'!$T$3</definedName>
    <definedName name="solver_lhs37" localSheetId="0" hidden="1">'식단 최적화 MIP'!$T$3</definedName>
    <definedName name="solver_lhs38" localSheetId="0" hidden="1">'식단 최적화 MIP'!$T$3:$T$7</definedName>
    <definedName name="solver_lhs39" localSheetId="0" hidden="1">'식단 최적화 MIP'!$T$6</definedName>
    <definedName name="solver_lhs4" localSheetId="0" hidden="1">'식단 최적화 MIP'!$AC$8</definedName>
    <definedName name="solver_lhs40" localSheetId="0" hidden="1">'식단 최적화 MIP'!$U$3</definedName>
    <definedName name="solver_lhs41" localSheetId="0" hidden="1">'식단 최적화 MIP'!$U$3</definedName>
    <definedName name="solver_lhs42" localSheetId="0" hidden="1">'식단 최적화 MIP'!$U$3:$U$7</definedName>
    <definedName name="solver_lhs43" localSheetId="0" hidden="1">'식단 최적화 MIP'!$U$6</definedName>
    <definedName name="solver_lhs44" localSheetId="0" hidden="1">'식단 최적화 MIP'!$V$3</definedName>
    <definedName name="solver_lhs45" localSheetId="0" hidden="1">'식단 최적화 MIP'!$V$3</definedName>
    <definedName name="solver_lhs46" localSheetId="0" hidden="1">'식단 최적화 MIP'!$V$3:$V$7</definedName>
    <definedName name="solver_lhs47" localSheetId="0" hidden="1">'식단 최적화 MIP'!$V$6</definedName>
    <definedName name="solver_lhs48" localSheetId="0" hidden="1">'식단 최적화 MIP'!$Y$4</definedName>
    <definedName name="solver_lhs49" localSheetId="0" hidden="1">'식단 최적화 MIP'!$Y$5</definedName>
    <definedName name="solver_lhs5" localSheetId="0" hidden="1">'식단 최적화 MIP'!$AG$4</definedName>
    <definedName name="solver_lhs50" localSheetId="0" hidden="1">'식단 최적화 MIP'!$Y$6</definedName>
    <definedName name="solver_lhs51" localSheetId="0" hidden="1">'식단 최적화 MIP'!$Y$7</definedName>
    <definedName name="solver_lhs52" localSheetId="0" hidden="1">'식단 최적화 MIP'!$Y$8</definedName>
    <definedName name="solver_lhs53" localSheetId="0" hidden="1">'식단 최적화 MIP'!$Y$9</definedName>
    <definedName name="solver_lhs6" localSheetId="0" hidden="1">'식단 최적화 MIP'!$AG$5</definedName>
    <definedName name="solver_lhs7" localSheetId="0" hidden="1">'식단 최적화 MIP'!$AG$6</definedName>
    <definedName name="solver_lhs8" localSheetId="0" hidden="1">'식단 최적화 MIP'!$AG$7</definedName>
    <definedName name="solver_lhs9" localSheetId="0" hidden="1">'식단 최적화 MIP'!$J$10:$L$10</definedName>
    <definedName name="solver_lin" localSheetId="0" hidden="1">1</definedName>
    <definedName name="solver_mip" localSheetId="0" hidden="1">2147483647</definedName>
    <definedName name="solver_mni" localSheetId="0" hidden="1">60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53</definedName>
    <definedName name="solver_opt" localSheetId="0" hidden="1">'식단 최적화 MIP'!$Q$5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1</definedName>
    <definedName name="solver_rel18" localSheetId="0" hidden="1">1</definedName>
    <definedName name="solver_rel19" localSheetId="0" hidden="1">4</definedName>
    <definedName name="solver_rel2" localSheetId="0" hidden="1">1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24" localSheetId="0" hidden="1">1</definedName>
    <definedName name="solver_rel25" localSheetId="0" hidden="1">1</definedName>
    <definedName name="solver_rel26" localSheetId="0" hidden="1">1</definedName>
    <definedName name="solver_rel27" localSheetId="0" hidden="1">1</definedName>
    <definedName name="solver_rel28" localSheetId="0" hidden="1">3</definedName>
    <definedName name="solver_rel29" localSheetId="0" hidden="1">1</definedName>
    <definedName name="solver_rel3" localSheetId="0" hidden="1">1</definedName>
    <definedName name="solver_rel30" localSheetId="0" hidden="1">3</definedName>
    <definedName name="solver_rel31" localSheetId="0" hidden="1">1</definedName>
    <definedName name="solver_rel32" localSheetId="0" hidden="1">3</definedName>
    <definedName name="solver_rel33" localSheetId="0" hidden="1">1</definedName>
    <definedName name="solver_rel34" localSheetId="0" hidden="1">1</definedName>
    <definedName name="solver_rel35" localSheetId="0" hidden="1">3</definedName>
    <definedName name="solver_rel36" localSheetId="0" hidden="1">1</definedName>
    <definedName name="solver_rel37" localSheetId="0" hidden="1">3</definedName>
    <definedName name="solver_rel38" localSheetId="0" hidden="1">3</definedName>
    <definedName name="solver_rel39" localSheetId="0" hidden="1">1</definedName>
    <definedName name="solver_rel4" localSheetId="0" hidden="1">1</definedName>
    <definedName name="solver_rel40" localSheetId="0" hidden="1">1</definedName>
    <definedName name="solver_rel41" localSheetId="0" hidden="1">3</definedName>
    <definedName name="solver_rel42" localSheetId="0" hidden="1">3</definedName>
    <definedName name="solver_rel43" localSheetId="0" hidden="1">1</definedName>
    <definedName name="solver_rel44" localSheetId="0" hidden="1">1</definedName>
    <definedName name="solver_rel45" localSheetId="0" hidden="1">3</definedName>
    <definedName name="solver_rel46" localSheetId="0" hidden="1">3</definedName>
    <definedName name="solver_rel47" localSheetId="0" hidden="1">1</definedName>
    <definedName name="solver_rel48" localSheetId="0" hidden="1">3</definedName>
    <definedName name="solver_rel49" localSheetId="0" hidden="1">1</definedName>
    <definedName name="solver_rel5" localSheetId="0" hidden="1">1</definedName>
    <definedName name="solver_rel50" localSheetId="0" hidden="1">3</definedName>
    <definedName name="solver_rel51" localSheetId="0" hidden="1">1</definedName>
    <definedName name="solver_rel52" localSheetId="0" hidden="1">3</definedName>
    <definedName name="solver_rel53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"2진수"</definedName>
    <definedName name="solver_rhs10" localSheetId="0" hidden="1">'식단 최적화 MIP'!$AA$6:$AC$6</definedName>
    <definedName name="solver_rhs11" localSheetId="0" hidden="1">'식단 최적화 MIP'!$AA$6:$AC$6</definedName>
    <definedName name="solver_rhs12" localSheetId="0" hidden="1">'식단 최적화 MIP'!$AA$3:$AC$3</definedName>
    <definedName name="solver_rhs13" localSheetId="0" hidden="1">'식단 최적화 MIP'!$AA$3:$AC$3</definedName>
    <definedName name="solver_rhs14" localSheetId="0" hidden="1">'식단 최적화 MIP'!$AA$7:$AC$7</definedName>
    <definedName name="solver_rhs15" localSheetId="0" hidden="1">'식단 최적화 MIP'!$AA$5:$AC$5</definedName>
    <definedName name="solver_rhs16" localSheetId="0" hidden="1">'식단 최적화 MIP'!$AA$5:$AC$5</definedName>
    <definedName name="solver_rhs17" localSheetId="0" hidden="1">'식단 최적화 MIP'!$AA$4:$AC$4</definedName>
    <definedName name="solver_rhs18" localSheetId="0" hidden="1">1</definedName>
    <definedName name="solver_rhs19" localSheetId="0" hidden="1">"정수"</definedName>
    <definedName name="solver_rhs2" localSheetId="0" hidden="1">'식단 최적화 MIP'!$Y$11</definedName>
    <definedName name="solver_rhs20" localSheetId="0" hidden="1">'식단 최적화 MIP'!$AA$5:$AC$5</definedName>
    <definedName name="solver_rhs21" localSheetId="0" hidden="1">'식단 최적화 MIP'!$AA$4:$AC$4</definedName>
    <definedName name="solver_rhs22" localSheetId="0" hidden="1">'식단 최적화 MIP'!$AA$7:$AC$7</definedName>
    <definedName name="solver_rhs23" localSheetId="0" hidden="1">'식단 최적화 MIP'!$AA$4:$AC$4</definedName>
    <definedName name="solver_rhs24" localSheetId="0" hidden="1">'식단 최적화 MIP'!$AA$5:$AC$5</definedName>
    <definedName name="solver_rhs25" localSheetId="0" hidden="1">'식단 최적화 MIP'!$AA$5:$AC$5</definedName>
    <definedName name="solver_rhs26" localSheetId="0" hidden="1">'식단 최적화 MIP'!$AA$4:$AC$4</definedName>
    <definedName name="solver_rhs27" localSheetId="0" hidden="1">'식단 최적화 MIP'!$AA$6:$AC$6</definedName>
    <definedName name="solver_rhs28" localSheetId="0" hidden="1">'식단 최적화 MIP'!$Y$10</definedName>
    <definedName name="solver_rhs29" localSheetId="0" hidden="1">'식단 최적화 MIP'!$Y$15</definedName>
    <definedName name="solver_rhs3" localSheetId="0" hidden="1">'식단 최적화 MIP'!$Y$11</definedName>
    <definedName name="solver_rhs30" localSheetId="0" hidden="1">'식단 최적화 MIP'!$Y$10</definedName>
    <definedName name="solver_rhs31" localSheetId="0" hidden="1">'식단 최적화 MIP'!$Y$16</definedName>
    <definedName name="solver_rhs32" localSheetId="0" hidden="1">'식단 최적화 MIP'!$Y$10</definedName>
    <definedName name="solver_rhs33" localSheetId="0" hidden="1">'식단 최적화 MIP'!$Y$17</definedName>
    <definedName name="solver_rhs34" localSheetId="0" hidden="1">'식단 최적화 MIP'!$Y$3</definedName>
    <definedName name="solver_rhs35" localSheetId="0" hidden="1">'식단 최적화 MIP'!$Y$2</definedName>
    <definedName name="solver_rhs36" localSheetId="0" hidden="1">'식단 최적화 MIP'!$Y$13</definedName>
    <definedName name="solver_rhs37" localSheetId="0" hidden="1">'식단 최적화 MIP'!$Y$12</definedName>
    <definedName name="solver_rhs38" localSheetId="0" hidden="1">'식단 최적화 MIP'!$AA$3:$AA$7</definedName>
    <definedName name="solver_rhs39" localSheetId="0" hidden="1">'식단 최적화 MIP'!$Y$14</definedName>
    <definedName name="solver_rhs4" localSheetId="0" hidden="1">'식단 최적화 MIP'!$Y$11</definedName>
    <definedName name="solver_rhs40" localSheetId="0" hidden="1">'식단 최적화 MIP'!$Y$13</definedName>
    <definedName name="solver_rhs41" localSheetId="0" hidden="1">'식단 최적화 MIP'!$Y$12</definedName>
    <definedName name="solver_rhs42" localSheetId="0" hidden="1">'식단 최적화 MIP'!$AB$3:$AB$7</definedName>
    <definedName name="solver_rhs43" localSheetId="0" hidden="1">'식단 최적화 MIP'!$Y$14</definedName>
    <definedName name="solver_rhs44" localSheetId="0" hidden="1">'식단 최적화 MIP'!$Y$13</definedName>
    <definedName name="solver_rhs45" localSheetId="0" hidden="1">'식단 최적화 MIP'!$Y$12</definedName>
    <definedName name="solver_rhs46" localSheetId="0" hidden="1">'식단 최적화 MIP'!$AC$3:$AC$7</definedName>
    <definedName name="solver_rhs47" localSheetId="0" hidden="1">'식단 최적화 MIP'!$Y$14</definedName>
    <definedName name="solver_rhs48" localSheetId="0" hidden="1">0</definedName>
    <definedName name="solver_rhs49" localSheetId="0" hidden="1">0</definedName>
    <definedName name="solver_rhs5" localSheetId="0" hidden="1">1</definedName>
    <definedName name="solver_rhs50" localSheetId="0" hidden="1">0</definedName>
    <definedName name="solver_rhs51" localSheetId="0" hidden="1">0</definedName>
    <definedName name="solver_rhs52" localSheetId="0" hidden="1">0</definedName>
    <definedName name="solver_rhs53" localSheetId="0" hidden="1">0</definedName>
    <definedName name="solver_rhs6" localSheetId="0" hidden="1">1</definedName>
    <definedName name="solver_rhs7" localSheetId="0" hidden="1">1</definedName>
    <definedName name="solver_rhs8" localSheetId="0" hidden="1">1</definedName>
    <definedName name="solver_rhs9" localSheetId="0" hidden="1">'식단 최적화 MIP'!$AA$5:$AC$5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200</definedName>
    <definedName name="solver_tim" localSheetId="0" hidden="1">100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2" l="1"/>
  <c r="AG5" i="2"/>
  <c r="AG6" i="2"/>
  <c r="AG7" i="2"/>
  <c r="W4" i="2"/>
  <c r="T3" i="2" a="1"/>
  <c r="T3" i="2" s="1"/>
  <c r="AF3" i="2"/>
  <c r="AD3" i="2"/>
  <c r="AE3" i="2"/>
  <c r="AC8" i="2"/>
  <c r="AB8" i="2"/>
  <c r="AA8" i="2"/>
  <c r="Y17" i="2"/>
  <c r="Y16" i="2"/>
  <c r="Y15" i="2"/>
  <c r="P13" i="2"/>
  <c r="O13" i="2"/>
  <c r="N13" i="2"/>
  <c r="P11" i="2"/>
  <c r="O11" i="2"/>
  <c r="N11" i="2"/>
  <c r="P9" i="2"/>
  <c r="O9" i="2"/>
  <c r="N9" i="2"/>
  <c r="AF7" i="2"/>
  <c r="AE7" i="2"/>
  <c r="AD7" i="2"/>
  <c r="W7" i="2"/>
  <c r="V7" i="2"/>
  <c r="U7" i="2"/>
  <c r="T7" i="2"/>
  <c r="P7" i="2"/>
  <c r="O7" i="2"/>
  <c r="N7" i="2"/>
  <c r="AF6" i="2"/>
  <c r="AE6" i="2"/>
  <c r="AD6" i="2"/>
  <c r="W6" i="2"/>
  <c r="V6" i="2"/>
  <c r="U6" i="2"/>
  <c r="T6" i="2"/>
  <c r="AF5" i="2"/>
  <c r="AE5" i="2"/>
  <c r="AD5" i="2"/>
  <c r="W5" i="2"/>
  <c r="V5" i="2"/>
  <c r="U5" i="2"/>
  <c r="T5" i="2"/>
  <c r="P5" i="2"/>
  <c r="O5" i="2"/>
  <c r="N5" i="2"/>
  <c r="AF4" i="2"/>
  <c r="AE4" i="2"/>
  <c r="AD4" i="2"/>
  <c r="V4" i="2"/>
  <c r="U4" i="2"/>
  <c r="T4" i="2"/>
  <c r="V3" i="2"/>
  <c r="U3" i="2"/>
  <c r="P3" i="2"/>
  <c r="O3" i="2"/>
  <c r="N3" i="2"/>
  <c r="Q11" i="2" l="1"/>
  <c r="U8" i="2"/>
  <c r="Q5" i="2"/>
  <c r="V8" i="2"/>
  <c r="Q9" i="2"/>
  <c r="Q3" i="2"/>
  <c r="Q7" i="2"/>
  <c r="W3" i="2"/>
  <c r="T8" i="2"/>
  <c r="Y9" i="2" l="1"/>
  <c r="Y4" i="2"/>
  <c r="Y5" i="2"/>
  <c r="Y8" i="2"/>
  <c r="Y6" i="2"/>
  <c r="Y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<sst xmlns="http://schemas.openxmlformats.org/spreadsheetml/2006/main" count="115" uniqueCount="73">
  <si>
    <t>탄수화물 최소</t>
  </si>
  <si>
    <t>탄수화물 최대</t>
  </si>
  <si>
    <t>단백질 최소</t>
  </si>
  <si>
    <t>단백질 최대</t>
  </si>
  <si>
    <t>지방 최소</t>
  </si>
  <si>
    <t>지방 최대</t>
  </si>
  <si>
    <t>음식명</t>
  </si>
  <si>
    <t>무게(g)</t>
  </si>
  <si>
    <t>칼로리</t>
  </si>
  <si>
    <t>단백질(g)</t>
  </si>
  <si>
    <t>지방(g)</t>
  </si>
  <si>
    <t>탄수화물(g)</t>
  </si>
  <si>
    <t>가격(원)</t>
  </si>
  <si>
    <t>카테고리</t>
  </si>
  <si>
    <t>아침(0/1)</t>
  </si>
  <si>
    <t>점심(0/1)</t>
  </si>
  <si>
    <t>저녁(0/1)</t>
  </si>
  <si>
    <t>아침 합계</t>
  </si>
  <si>
    <t>점심 합계</t>
  </si>
  <si>
    <t>저녁 합계</t>
  </si>
  <si>
    <t>하루 전체</t>
  </si>
  <si>
    <t>제약조건 계산</t>
  </si>
  <si>
    <t>삶은계란</t>
  </si>
  <si>
    <t>SIDE_DISH</t>
  </si>
  <si>
    <t>아침</t>
  </si>
  <si>
    <t>점심</t>
  </si>
  <si>
    <t>저녁</t>
  </si>
  <si>
    <t>합</t>
  </si>
  <si>
    <t>최소칼로리</t>
  </si>
  <si>
    <t>잡채</t>
  </si>
  <si>
    <t>MAIN_DISH</t>
  </si>
  <si>
    <t>RICE</t>
  </si>
  <si>
    <t>최대칼로리</t>
  </si>
  <si>
    <t>사과</t>
  </si>
  <si>
    <t>OTHER</t>
  </si>
  <si>
    <t>단백질</t>
  </si>
  <si>
    <t>제육볶음</t>
  </si>
  <si>
    <t>두부</t>
  </si>
  <si>
    <t>지방</t>
  </si>
  <si>
    <t>SOUP</t>
  </si>
  <si>
    <t>물만두</t>
  </si>
  <si>
    <t>고등어 구이</t>
  </si>
  <si>
    <t>탄수화물</t>
  </si>
  <si>
    <t>카테고리 개수</t>
  </si>
  <si>
    <t>돼지고기 김치찌개</t>
  </si>
  <si>
    <t>고추참치</t>
  </si>
  <si>
    <t>가격</t>
  </si>
  <si>
    <t>끼니음식최소</t>
  </si>
  <si>
    <t>차돌된장찌개</t>
  </si>
  <si>
    <t>카테고리최대</t>
  </si>
  <si>
    <t>카레</t>
  </si>
  <si>
    <t>음식개수</t>
  </si>
  <si>
    <t>RICE최소</t>
  </si>
  <si>
    <t>쌀밥</t>
  </si>
  <si>
    <t>RICE최대</t>
  </si>
  <si>
    <t>참치마요 삼각김밥</t>
  </si>
  <si>
    <t>SOUP최대</t>
  </si>
  <si>
    <t>삶은감자</t>
  </si>
  <si>
    <t>아침칼로리최대</t>
  </si>
  <si>
    <t>낫또</t>
  </si>
  <si>
    <t>점심칼로리최대</t>
  </si>
  <si>
    <t>계란말이</t>
  </si>
  <si>
    <t>저녁칼로리최대</t>
  </si>
  <si>
    <t>떡갈비</t>
  </si>
  <si>
    <t>합</t>
    <phoneticPr fontId="10" type="noConversion"/>
  </si>
  <si>
    <t>카테고리 선택 여부(적응적 제약식용)</t>
    <phoneticPr fontId="10" type="noConversion"/>
  </si>
  <si>
    <t>카테고리별 집계</t>
    <phoneticPr fontId="10" type="noConversion"/>
  </si>
  <si>
    <t>아침</t>
    <phoneticPr fontId="10" type="noConversion"/>
  </si>
  <si>
    <t>점심</t>
    <phoneticPr fontId="10" type="noConversion"/>
  </si>
  <si>
    <t>저녁</t>
    <phoneticPr fontId="10" type="noConversion"/>
  </si>
  <si>
    <t>아침(Big-M)</t>
    <phoneticPr fontId="10" type="noConversion"/>
  </si>
  <si>
    <t>점심(Big-M)</t>
    <phoneticPr fontId="10" type="noConversion"/>
  </si>
  <si>
    <t>저녁(Big-M)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</si>
</sst>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b/>
      <sz val="9"/>
      <name val="맑은 고딕"/>
      <family val="2"/>
      <charset val="129"/>
    </font>
    <font>
      <b/>
      <sz val="10"/>
      <color rgb="FF0070C0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0070C0"/>
      <name val="맑은 고딕"/>
      <family val="2"/>
      <charset val="129"/>
    </font>
    <font>
      <b/>
      <sz val="11"/>
      <color rgb="FFC00000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2" fillId="8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1" fontId="0" fillId="0" borderId="3" xfId="0" applyNumberFormat="1" applyBorder="1"/>
    <xf numFmtId="0" fontId="8" fillId="7" borderId="1" xfId="0" applyFont="1" applyFill="1" applyBorder="1" applyAlignment="1">
      <alignment horizontal="center" vertical="center"/>
    </xf>
    <xf numFmtId="0" fontId="0" fillId="0" borderId="2" xfId="0" applyBorder="1"/>
    <xf numFmtId="0" fontId="12" fillId="8" borderId="4" xfId="1" applyBorder="1" applyAlignment="1">
      <alignment horizontal="center"/>
    </xf>
    <xf numFmtId="0" fontId="12" fillId="8" borderId="5" xfId="1" applyBorder="1" applyAlignment="1">
      <alignment horizontal="center"/>
    </xf>
    <xf numFmtId="0" fontId="12" fillId="8" borderId="6" xfId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</cellXfs>
  <cellStyles count="2"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"/>
  <sheetViews>
    <sheetView tabSelected="1" zoomScale="79" workbookViewId="0">
      <selection activeCell="Q5" sqref="Q5"/>
    </sheetView>
  </sheetViews>
  <sheetFormatPr baseColWidth="10" defaultColWidth="8.83203125" defaultRowHeight="17"/>
  <cols>
    <col min="1" max="1" width="18" customWidth="1"/>
    <col min="8" max="8" width="12" customWidth="1"/>
    <col min="10" max="12" width="11" customWidth="1"/>
    <col min="14" max="17" width="11" customWidth="1"/>
    <col min="19" max="19" width="13" customWidth="1"/>
    <col min="20" max="22" width="8" customWidth="1"/>
    <col min="24" max="24" width="16" customWidth="1"/>
    <col min="25" max="25" width="12" customWidth="1"/>
    <col min="30" max="30" width="12.1640625" customWidth="1"/>
    <col min="31" max="31" width="13.6640625" customWidth="1"/>
    <col min="32" max="32" width="15.5" customWidth="1"/>
    <col min="33" max="33" width="8.83203125" customWidth="1"/>
  </cols>
  <sheetData>
    <row r="1" spans="1:33" ht="2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J1" s="2" t="s">
        <v>14</v>
      </c>
      <c r="K1" s="2" t="s">
        <v>15</v>
      </c>
      <c r="L1" s="2" t="s">
        <v>16</v>
      </c>
      <c r="N1" s="3" t="s">
        <v>17</v>
      </c>
      <c r="O1" s="3" t="s">
        <v>18</v>
      </c>
      <c r="P1" s="3" t="s">
        <v>19</v>
      </c>
      <c r="Q1" s="4" t="s">
        <v>20</v>
      </c>
      <c r="S1" s="32" t="s">
        <v>66</v>
      </c>
      <c r="T1" s="33"/>
      <c r="U1" s="33"/>
      <c r="V1" s="33"/>
      <c r="W1" s="34"/>
      <c r="X1" s="27" t="s">
        <v>21</v>
      </c>
      <c r="Y1" s="28"/>
      <c r="Z1" s="29" t="s">
        <v>65</v>
      </c>
      <c r="AA1" s="30"/>
      <c r="AB1" s="30"/>
      <c r="AC1" s="30"/>
      <c r="AD1" s="30"/>
      <c r="AE1" s="30"/>
      <c r="AF1" s="30"/>
      <c r="AG1" s="31"/>
    </row>
    <row r="2" spans="1:33">
      <c r="A2" s="5" t="s">
        <v>22</v>
      </c>
      <c r="B2" s="6">
        <v>50</v>
      </c>
      <c r="C2" s="6">
        <v>71</v>
      </c>
      <c r="D2" s="6">
        <v>6</v>
      </c>
      <c r="E2" s="6">
        <v>5</v>
      </c>
      <c r="F2" s="6">
        <v>0.5</v>
      </c>
      <c r="G2" s="6">
        <v>500</v>
      </c>
      <c r="H2" s="5" t="s">
        <v>23</v>
      </c>
      <c r="J2" s="7">
        <v>1</v>
      </c>
      <c r="K2" s="7">
        <v>0</v>
      </c>
      <c r="L2" s="7">
        <v>0</v>
      </c>
      <c r="N2" s="8" t="s">
        <v>8</v>
      </c>
      <c r="O2" s="8" t="s">
        <v>8</v>
      </c>
      <c r="P2" s="8" t="s">
        <v>8</v>
      </c>
      <c r="Q2" s="8" t="s">
        <v>8</v>
      </c>
      <c r="S2" s="9" t="s">
        <v>13</v>
      </c>
      <c r="T2" s="9" t="s">
        <v>24</v>
      </c>
      <c r="U2" s="9" t="s">
        <v>25</v>
      </c>
      <c r="V2" s="9" t="s">
        <v>26</v>
      </c>
      <c r="W2" s="25" t="s">
        <v>27</v>
      </c>
      <c r="X2" s="10" t="s">
        <v>28</v>
      </c>
      <c r="Y2" s="11">
        <v>2000</v>
      </c>
      <c r="Z2" s="21"/>
      <c r="AA2" s="23" t="s">
        <v>67</v>
      </c>
      <c r="AB2" s="23" t="s">
        <v>68</v>
      </c>
      <c r="AC2" s="23" t="s">
        <v>69</v>
      </c>
      <c r="AD2" s="23" t="s">
        <v>70</v>
      </c>
      <c r="AE2" s="23" t="s">
        <v>71</v>
      </c>
      <c r="AF2" s="23" t="s">
        <v>72</v>
      </c>
      <c r="AG2" s="23" t="s">
        <v>64</v>
      </c>
    </row>
    <row r="3" spans="1:33">
      <c r="A3" s="5" t="s">
        <v>29</v>
      </c>
      <c r="B3" s="6">
        <v>75</v>
      </c>
      <c r="C3" s="6">
        <v>257</v>
      </c>
      <c r="D3" s="6">
        <v>2</v>
      </c>
      <c r="E3" s="6">
        <v>5</v>
      </c>
      <c r="F3" s="6">
        <v>51</v>
      </c>
      <c r="G3" s="6">
        <v>1495</v>
      </c>
      <c r="H3" s="5" t="s">
        <v>30</v>
      </c>
      <c r="J3" s="7">
        <v>0</v>
      </c>
      <c r="K3" s="7">
        <v>1</v>
      </c>
      <c r="L3" s="7">
        <v>0</v>
      </c>
      <c r="N3" s="11">
        <f>SUMPRODUCT(C2:C18,J2:J18)</f>
        <v>735.9</v>
      </c>
      <c r="O3" s="11">
        <f>SUMPRODUCT(C2:C18,K2:K18)</f>
        <v>984</v>
      </c>
      <c r="P3" s="11">
        <f>SUMPRODUCT(C2:C18,L2:L18)</f>
        <v>713.76</v>
      </c>
      <c r="Q3" s="12">
        <f>N3+O3+P3</f>
        <v>2433.66</v>
      </c>
      <c r="S3" s="5" t="s">
        <v>31</v>
      </c>
      <c r="T3" s="13" cm="1">
        <f t="array" ref="T3">SUMPRODUCT((H$2:H$18="RICE")*(J$2:J$18))</f>
        <v>1</v>
      </c>
      <c r="U3" s="13">
        <f>SUMPRODUCT((H$2:H$18="RICE")*(K$2:K$18))</f>
        <v>1</v>
      </c>
      <c r="V3" s="13">
        <f>SUMPRODUCT((H$2:H$18="RICE")*(L$2:L$18))</f>
        <v>1</v>
      </c>
      <c r="W3" s="26">
        <f>SUM(T3:V3)</f>
        <v>3</v>
      </c>
      <c r="X3" s="10" t="s">
        <v>32</v>
      </c>
      <c r="Y3" s="11">
        <v>2500</v>
      </c>
      <c r="Z3" s="22" t="s">
        <v>31</v>
      </c>
      <c r="AA3">
        <v>1</v>
      </c>
      <c r="AB3">
        <v>1</v>
      </c>
      <c r="AC3">
        <v>1</v>
      </c>
      <c r="AD3" s="21">
        <f>AA3*100</f>
        <v>100</v>
      </c>
      <c r="AE3" s="21">
        <f>AB3*100</f>
        <v>100</v>
      </c>
      <c r="AF3" s="21">
        <f>AC3*100</f>
        <v>100</v>
      </c>
      <c r="AG3" s="21"/>
    </row>
    <row r="4" spans="1:33">
      <c r="A4" s="5" t="s">
        <v>33</v>
      </c>
      <c r="B4" s="6">
        <v>150</v>
      </c>
      <c r="C4" s="6">
        <v>63.8</v>
      </c>
      <c r="D4" s="6">
        <v>0.5</v>
      </c>
      <c r="E4" s="6">
        <v>0.2</v>
      </c>
      <c r="F4" s="6">
        <v>15</v>
      </c>
      <c r="G4" s="6">
        <v>3400</v>
      </c>
      <c r="H4" s="5" t="s">
        <v>34</v>
      </c>
      <c r="J4" s="7">
        <v>0</v>
      </c>
      <c r="K4" s="7">
        <v>0</v>
      </c>
      <c r="L4" s="7">
        <v>0</v>
      </c>
      <c r="N4" s="8" t="s">
        <v>35</v>
      </c>
      <c r="O4" s="8" t="s">
        <v>35</v>
      </c>
      <c r="P4" s="8" t="s">
        <v>35</v>
      </c>
      <c r="Q4" s="14" t="s">
        <v>35</v>
      </c>
      <c r="S4" s="5" t="s">
        <v>30</v>
      </c>
      <c r="T4" s="13">
        <f>SUMPRODUCT((H$2:H$18="MAIN_DISH")*(J$2:J$18))</f>
        <v>0</v>
      </c>
      <c r="U4" s="13">
        <f>SUMPRODUCT((H$2:H$18="MAIN_DISH")*(K$2:K$18))</f>
        <v>2</v>
      </c>
      <c r="V4" s="13">
        <f>SUMPRODUCT((H$2:H$18="MAIN_DISH")*(L$2:L$18))</f>
        <v>0</v>
      </c>
      <c r="W4" s="26">
        <f>AA4+AB4+AC4</f>
        <v>1</v>
      </c>
      <c r="X4" s="10" t="s">
        <v>0</v>
      </c>
      <c r="Y4" s="11">
        <f>Q9*4-Q3*0.55</f>
        <v>31.167000000000144</v>
      </c>
      <c r="Z4" s="21" t="s">
        <v>30</v>
      </c>
      <c r="AA4">
        <v>0</v>
      </c>
      <c r="AB4">
        <v>1</v>
      </c>
      <c r="AC4">
        <v>0</v>
      </c>
      <c r="AD4" s="21">
        <f t="shared" ref="AD4:AF7" si="0">AA4*100</f>
        <v>0</v>
      </c>
      <c r="AE4" s="21">
        <f t="shared" si="0"/>
        <v>100</v>
      </c>
      <c r="AF4" s="21">
        <f t="shared" si="0"/>
        <v>0</v>
      </c>
      <c r="AG4" s="21">
        <f>SUM(AA4:AC4)</f>
        <v>1</v>
      </c>
    </row>
    <row r="5" spans="1:33">
      <c r="A5" s="5" t="s">
        <v>36</v>
      </c>
      <c r="B5" s="6">
        <v>200</v>
      </c>
      <c r="C5" s="6">
        <v>430</v>
      </c>
      <c r="D5" s="6">
        <v>25</v>
      </c>
      <c r="E5" s="6">
        <v>30</v>
      </c>
      <c r="F5" s="6">
        <v>15</v>
      </c>
      <c r="G5" s="6">
        <v>3500</v>
      </c>
      <c r="H5" s="5" t="s">
        <v>30</v>
      </c>
      <c r="J5" s="7">
        <v>0</v>
      </c>
      <c r="K5" s="7">
        <v>1</v>
      </c>
      <c r="L5" s="7">
        <v>0</v>
      </c>
      <c r="N5" s="11">
        <f>SUMPRODUCT(D2:D18,J2:J18)</f>
        <v>40.4</v>
      </c>
      <c r="O5" s="11">
        <f>SUMPRODUCT(D2:D18,K2:K18)</f>
        <v>32</v>
      </c>
      <c r="P5" s="11">
        <f>SUMPRODUCT(D2:D18,L2:L18)</f>
        <v>32.72</v>
      </c>
      <c r="Q5" s="15">
        <f>N5+O5+P5</f>
        <v>105.12</v>
      </c>
      <c r="S5" s="5" t="s">
        <v>23</v>
      </c>
      <c r="T5" s="13">
        <f>SUMPRODUCT((H$2:H$18="SIDE_DISH")*(J$2:J$18))</f>
        <v>4</v>
      </c>
      <c r="U5" s="13">
        <f>SUMPRODUCT((H$2:H$18="SIDE_DISH")*(K$2:K$18))</f>
        <v>0</v>
      </c>
      <c r="V5" s="13">
        <f>SUMPRODUCT((H$2:H$18="SIDE_DISH")*(L$2:L$18))</f>
        <v>0</v>
      </c>
      <c r="W5" s="26">
        <f>AA5+AB5+AC5</f>
        <v>1</v>
      </c>
      <c r="X5" s="10" t="s">
        <v>1</v>
      </c>
      <c r="Y5" s="11">
        <f>Q9*4-Q3*0.65</f>
        <v>-212.19899999999984</v>
      </c>
      <c r="Z5" s="21" t="s">
        <v>23</v>
      </c>
      <c r="AA5">
        <v>1</v>
      </c>
      <c r="AB5">
        <v>0</v>
      </c>
      <c r="AC5">
        <v>0</v>
      </c>
      <c r="AD5" s="21">
        <f t="shared" si="0"/>
        <v>100</v>
      </c>
      <c r="AE5" s="21">
        <f t="shared" si="0"/>
        <v>0</v>
      </c>
      <c r="AF5" s="21">
        <f t="shared" si="0"/>
        <v>0</v>
      </c>
      <c r="AG5" s="21">
        <f>SUM(AA5:AC5)</f>
        <v>1</v>
      </c>
    </row>
    <row r="6" spans="1:33">
      <c r="A6" s="5" t="s">
        <v>37</v>
      </c>
      <c r="B6" s="6">
        <v>100</v>
      </c>
      <c r="C6" s="6">
        <v>92.9</v>
      </c>
      <c r="D6" s="6">
        <v>9.4</v>
      </c>
      <c r="E6" s="6">
        <v>5.3</v>
      </c>
      <c r="F6" s="6">
        <v>1.9</v>
      </c>
      <c r="G6" s="6">
        <v>500</v>
      </c>
      <c r="H6" s="5" t="s">
        <v>23</v>
      </c>
      <c r="J6" s="7">
        <v>1</v>
      </c>
      <c r="K6" s="7">
        <v>0</v>
      </c>
      <c r="L6" s="7">
        <v>0</v>
      </c>
      <c r="N6" s="8" t="s">
        <v>38</v>
      </c>
      <c r="O6" s="8" t="s">
        <v>38</v>
      </c>
      <c r="P6" s="8" t="s">
        <v>38</v>
      </c>
      <c r="Q6" s="8" t="s">
        <v>38</v>
      </c>
      <c r="S6" s="5" t="s">
        <v>39</v>
      </c>
      <c r="T6" s="13">
        <f>SUMPRODUCT((H$2:H$18="SOUP")*(J$2:J$18))</f>
        <v>0</v>
      </c>
      <c r="U6" s="13">
        <f>SUMPRODUCT((H$2:H$18="SOUP")*(K$2:K$18))</f>
        <v>0</v>
      </c>
      <c r="V6" s="13">
        <f>SUMPRODUCT((H$2:H$18="SOUP")*(L$2:L$18))</f>
        <v>1</v>
      </c>
      <c r="W6" s="26">
        <f>AA6+AB6+AC6</f>
        <v>1</v>
      </c>
      <c r="X6" s="10" t="s">
        <v>2</v>
      </c>
      <c r="Y6" s="11">
        <f>Q5*4-Q3*0.07</f>
        <v>250.12380000000002</v>
      </c>
      <c r="Z6" s="21" t="s">
        <v>39</v>
      </c>
      <c r="AA6">
        <v>0</v>
      </c>
      <c r="AB6">
        <v>0</v>
      </c>
      <c r="AC6">
        <v>1</v>
      </c>
      <c r="AD6" s="21">
        <f t="shared" si="0"/>
        <v>0</v>
      </c>
      <c r="AE6" s="21">
        <f t="shared" si="0"/>
        <v>0</v>
      </c>
      <c r="AF6" s="21">
        <f t="shared" si="0"/>
        <v>100</v>
      </c>
      <c r="AG6" s="21">
        <f>SUM(AA6:AC6)</f>
        <v>1</v>
      </c>
    </row>
    <row r="7" spans="1:33">
      <c r="A7" s="5" t="s">
        <v>40</v>
      </c>
      <c r="B7" s="6">
        <v>370</v>
      </c>
      <c r="C7" s="6">
        <v>696</v>
      </c>
      <c r="D7" s="6">
        <v>29</v>
      </c>
      <c r="E7" s="6">
        <v>32</v>
      </c>
      <c r="F7" s="6">
        <v>73</v>
      </c>
      <c r="G7" s="6">
        <v>4500</v>
      </c>
      <c r="H7" s="5" t="s">
        <v>23</v>
      </c>
      <c r="J7" s="7">
        <v>0</v>
      </c>
      <c r="K7" s="7">
        <v>0</v>
      </c>
      <c r="L7" s="7">
        <v>0</v>
      </c>
      <c r="N7" s="11">
        <f>SUMPRODUCT(E2:E18,J2:J18)</f>
        <v>26.3</v>
      </c>
      <c r="O7" s="11">
        <f>SUMPRODUCT(E2:E18,K2:K18)</f>
        <v>36</v>
      </c>
      <c r="P7" s="11">
        <f>SUMPRODUCT(E2:E18,L2:L18)</f>
        <v>9.1999999999999993</v>
      </c>
      <c r="Q7" s="12">
        <f>N7+O7+P7</f>
        <v>71.5</v>
      </c>
      <c r="S7" s="5" t="s">
        <v>34</v>
      </c>
      <c r="T7" s="13">
        <f>SUMPRODUCT((H$2:H$18="OTHER")*(J$2:J$18))</f>
        <v>0</v>
      </c>
      <c r="U7" s="13">
        <f>SUMPRODUCT((H$2:H$18="OTHER")*(K$2:K$18))</f>
        <v>0</v>
      </c>
      <c r="V7" s="13">
        <f>SUMPRODUCT((H$2:H$18="OTHER")*(L$2:L$18))</f>
        <v>1</v>
      </c>
      <c r="W7" s="26">
        <f>AA7+AB7+AC7</f>
        <v>1</v>
      </c>
      <c r="X7" s="10" t="s">
        <v>3</v>
      </c>
      <c r="Y7" s="11">
        <f>Q5*4-Q3*0.2</f>
        <v>-66.251999999999953</v>
      </c>
      <c r="Z7" s="21" t="s">
        <v>34</v>
      </c>
      <c r="AA7">
        <v>0</v>
      </c>
      <c r="AB7">
        <v>0</v>
      </c>
      <c r="AC7">
        <v>1</v>
      </c>
      <c r="AD7" s="21">
        <f t="shared" si="0"/>
        <v>0</v>
      </c>
      <c r="AE7" s="21">
        <f t="shared" si="0"/>
        <v>0</v>
      </c>
      <c r="AF7" s="21">
        <f t="shared" si="0"/>
        <v>100</v>
      </c>
      <c r="AG7" s="21">
        <f>SUM(AA7:AC7)</f>
        <v>1</v>
      </c>
    </row>
    <row r="8" spans="1:33">
      <c r="A8" s="5" t="s">
        <v>41</v>
      </c>
      <c r="B8" s="6">
        <v>100</v>
      </c>
      <c r="C8" s="6">
        <v>272</v>
      </c>
      <c r="D8" s="6">
        <v>24</v>
      </c>
      <c r="E8" s="6">
        <v>19</v>
      </c>
      <c r="F8" s="6">
        <v>1</v>
      </c>
      <c r="G8" s="6">
        <v>2500</v>
      </c>
      <c r="H8" s="5" t="s">
        <v>30</v>
      </c>
      <c r="J8" s="7">
        <v>0</v>
      </c>
      <c r="K8" s="7">
        <v>0</v>
      </c>
      <c r="L8" s="7">
        <v>0</v>
      </c>
      <c r="N8" s="8" t="s">
        <v>42</v>
      </c>
      <c r="O8" s="8" t="s">
        <v>42</v>
      </c>
      <c r="P8" s="8" t="s">
        <v>42</v>
      </c>
      <c r="Q8" s="8" t="s">
        <v>42</v>
      </c>
      <c r="S8" s="8" t="s">
        <v>43</v>
      </c>
      <c r="T8" s="16">
        <f>SUM(T3:T7)</f>
        <v>5</v>
      </c>
      <c r="U8" s="16">
        <f>SUM(U3:U7)</f>
        <v>3</v>
      </c>
      <c r="V8" s="16">
        <f>SUM(V3:V7)</f>
        <v>3</v>
      </c>
      <c r="W8" s="21"/>
      <c r="X8" s="10" t="s">
        <v>4</v>
      </c>
      <c r="Y8" s="11">
        <f>Q7*9-Q3*0.15</f>
        <v>278.45100000000002</v>
      </c>
      <c r="Z8" s="24" t="s">
        <v>64</v>
      </c>
      <c r="AA8" s="21">
        <f>SUM(AA3:AA7)</f>
        <v>2</v>
      </c>
      <c r="AB8" s="21">
        <f>SUM(AB3:AB7)</f>
        <v>2</v>
      </c>
      <c r="AC8" s="21">
        <f>SUM(AC3:AC7)</f>
        <v>3</v>
      </c>
      <c r="AD8" s="21"/>
      <c r="AE8" s="21"/>
      <c r="AF8" s="21"/>
      <c r="AG8" s="21"/>
    </row>
    <row r="9" spans="1:33">
      <c r="A9" s="5" t="s">
        <v>44</v>
      </c>
      <c r="B9" s="6">
        <v>460</v>
      </c>
      <c r="C9" s="6">
        <v>240</v>
      </c>
      <c r="D9" s="6">
        <v>24</v>
      </c>
      <c r="E9" s="6">
        <v>8</v>
      </c>
      <c r="F9" s="6">
        <v>18</v>
      </c>
      <c r="G9" s="6">
        <v>7410</v>
      </c>
      <c r="H9" s="5" t="s">
        <v>39</v>
      </c>
      <c r="J9" s="7">
        <v>0</v>
      </c>
      <c r="K9" s="7">
        <v>0</v>
      </c>
      <c r="L9" s="7">
        <v>1</v>
      </c>
      <c r="N9" s="11">
        <f>SUMPRODUCT(F2:F18,J2:J18)</f>
        <v>84.4</v>
      </c>
      <c r="O9" s="11">
        <f>SUMPRODUCT(F2:F18,K2:K18)</f>
        <v>133</v>
      </c>
      <c r="P9" s="11">
        <f>SUMPRODUCT(F2:F18,L2:L18)</f>
        <v>125.02000000000001</v>
      </c>
      <c r="Q9" s="12">
        <f>N9+O9+P9</f>
        <v>342.42</v>
      </c>
      <c r="X9" s="10" t="s">
        <v>5</v>
      </c>
      <c r="Y9" s="11">
        <f>Q7*9-Q3*0.3</f>
        <v>-86.597999999999956</v>
      </c>
    </row>
    <row r="10" spans="1:33">
      <c r="A10" s="5" t="s">
        <v>45</v>
      </c>
      <c r="B10" s="6">
        <v>100</v>
      </c>
      <c r="C10" s="6">
        <v>142</v>
      </c>
      <c r="D10" s="6">
        <v>10</v>
      </c>
      <c r="E10" s="6">
        <v>6</v>
      </c>
      <c r="F10" s="6">
        <v>12</v>
      </c>
      <c r="G10" s="6">
        <v>3300</v>
      </c>
      <c r="H10" s="5" t="s">
        <v>23</v>
      </c>
      <c r="J10" s="7">
        <v>1</v>
      </c>
      <c r="K10" s="7">
        <v>0</v>
      </c>
      <c r="L10" s="7">
        <v>0</v>
      </c>
      <c r="N10" s="8" t="s">
        <v>46</v>
      </c>
      <c r="O10" s="8" t="s">
        <v>46</v>
      </c>
      <c r="P10" s="8" t="s">
        <v>46</v>
      </c>
      <c r="Q10" s="8" t="s">
        <v>46</v>
      </c>
      <c r="X10" s="10" t="s">
        <v>47</v>
      </c>
      <c r="Y10" s="20">
        <v>1</v>
      </c>
    </row>
    <row r="11" spans="1:33">
      <c r="A11" s="5" t="s">
        <v>48</v>
      </c>
      <c r="B11" s="6">
        <v>460</v>
      </c>
      <c r="C11" s="6">
        <v>280</v>
      </c>
      <c r="D11" s="6">
        <v>17</v>
      </c>
      <c r="E11" s="6">
        <v>12</v>
      </c>
      <c r="F11" s="6">
        <v>26</v>
      </c>
      <c r="G11" s="6">
        <v>7000</v>
      </c>
      <c r="H11" s="5" t="s">
        <v>39</v>
      </c>
      <c r="J11" s="7">
        <v>0</v>
      </c>
      <c r="K11" s="7">
        <v>0</v>
      </c>
      <c r="L11" s="7">
        <v>0</v>
      </c>
      <c r="N11" s="17">
        <f>SUMPRODUCT(G2:G18,J2:J18)</f>
        <v>6300</v>
      </c>
      <c r="O11" s="17">
        <f>SUMPRODUCT(G2:G18,K2:K18)</f>
        <v>5995</v>
      </c>
      <c r="P11" s="17">
        <f>SUMPRODUCT(G2:G18,L2:L18)</f>
        <v>9160</v>
      </c>
      <c r="Q11" s="18">
        <f>N11+O11+P11</f>
        <v>21455</v>
      </c>
      <c r="X11" s="10" t="s">
        <v>49</v>
      </c>
      <c r="Y11" s="20">
        <v>3</v>
      </c>
    </row>
    <row r="12" spans="1:33">
      <c r="A12" s="5" t="s">
        <v>50</v>
      </c>
      <c r="B12" s="6">
        <v>200</v>
      </c>
      <c r="C12" s="6">
        <v>171</v>
      </c>
      <c r="D12" s="6">
        <v>5</v>
      </c>
      <c r="E12" s="6">
        <v>7</v>
      </c>
      <c r="F12" s="6">
        <v>22</v>
      </c>
      <c r="G12" s="6">
        <v>1980</v>
      </c>
      <c r="H12" s="5" t="s">
        <v>39</v>
      </c>
      <c r="J12" s="7">
        <v>0</v>
      </c>
      <c r="K12" s="7">
        <v>0</v>
      </c>
      <c r="L12" s="7">
        <v>0</v>
      </c>
      <c r="N12" s="8" t="s">
        <v>51</v>
      </c>
      <c r="O12" s="8" t="s">
        <v>51</v>
      </c>
      <c r="P12" s="8" t="s">
        <v>51</v>
      </c>
      <c r="X12" s="10" t="s">
        <v>52</v>
      </c>
      <c r="Y12" s="20">
        <v>1</v>
      </c>
    </row>
    <row r="13" spans="1:33">
      <c r="A13" s="5" t="s">
        <v>53</v>
      </c>
      <c r="B13" s="6">
        <v>210</v>
      </c>
      <c r="C13" s="6">
        <v>297</v>
      </c>
      <c r="D13" s="6">
        <v>5</v>
      </c>
      <c r="E13" s="6">
        <v>1</v>
      </c>
      <c r="F13" s="6">
        <v>67</v>
      </c>
      <c r="G13" s="6">
        <v>1000</v>
      </c>
      <c r="H13" s="5" t="s">
        <v>31</v>
      </c>
      <c r="J13" s="7">
        <v>1</v>
      </c>
      <c r="K13" s="7">
        <v>1</v>
      </c>
      <c r="L13" s="7">
        <v>1</v>
      </c>
      <c r="N13" s="19">
        <f>SUM(J2:J18)</f>
        <v>5</v>
      </c>
      <c r="O13" s="19">
        <f>SUM(K2:K18)</f>
        <v>3</v>
      </c>
      <c r="P13" s="19">
        <f>SUM(L2:L18)</f>
        <v>3</v>
      </c>
      <c r="X13" s="10" t="s">
        <v>54</v>
      </c>
      <c r="Y13" s="20">
        <v>1</v>
      </c>
    </row>
    <row r="14" spans="1:33">
      <c r="A14" s="5" t="s">
        <v>55</v>
      </c>
      <c r="B14" s="6">
        <v>110</v>
      </c>
      <c r="C14" s="6">
        <v>180</v>
      </c>
      <c r="D14" s="6">
        <v>5</v>
      </c>
      <c r="E14" s="6">
        <v>8</v>
      </c>
      <c r="F14" s="6">
        <v>22</v>
      </c>
      <c r="G14" s="6">
        <v>1700</v>
      </c>
      <c r="H14" s="5" t="s">
        <v>31</v>
      </c>
      <c r="J14" s="7">
        <v>0</v>
      </c>
      <c r="K14" s="7">
        <v>0</v>
      </c>
      <c r="L14" s="7">
        <v>0</v>
      </c>
      <c r="X14" s="10" t="s">
        <v>56</v>
      </c>
      <c r="Y14" s="20">
        <v>1</v>
      </c>
    </row>
    <row r="15" spans="1:33">
      <c r="A15" s="5" t="s">
        <v>57</v>
      </c>
      <c r="B15" s="6">
        <v>200</v>
      </c>
      <c r="C15" s="6">
        <v>176.76</v>
      </c>
      <c r="D15" s="6">
        <v>3.72</v>
      </c>
      <c r="E15" s="6">
        <v>0.2</v>
      </c>
      <c r="F15" s="6">
        <v>40.020000000000003</v>
      </c>
      <c r="G15" s="6">
        <v>750</v>
      </c>
      <c r="H15" s="5" t="s">
        <v>34</v>
      </c>
      <c r="J15" s="7">
        <v>0</v>
      </c>
      <c r="K15" s="7">
        <v>0</v>
      </c>
      <c r="L15" s="7">
        <v>1</v>
      </c>
      <c r="X15" s="10" t="s">
        <v>58</v>
      </c>
      <c r="Y15" s="11">
        <f>2500*0.3</f>
        <v>750</v>
      </c>
    </row>
    <row r="16" spans="1:33">
      <c r="A16" s="5" t="s">
        <v>59</v>
      </c>
      <c r="B16" s="6">
        <v>40</v>
      </c>
      <c r="C16" s="6">
        <v>89</v>
      </c>
      <c r="D16" s="6">
        <v>7</v>
      </c>
      <c r="E16" s="6">
        <v>5</v>
      </c>
      <c r="F16" s="6">
        <v>4</v>
      </c>
      <c r="G16" s="6">
        <v>700</v>
      </c>
      <c r="H16" s="5" t="s">
        <v>23</v>
      </c>
      <c r="J16" s="7">
        <v>0</v>
      </c>
      <c r="K16" s="7">
        <v>0</v>
      </c>
      <c r="L16" s="7">
        <v>0</v>
      </c>
      <c r="X16" s="10" t="s">
        <v>60</v>
      </c>
      <c r="Y16" s="11">
        <f>2500*0.4</f>
        <v>1000</v>
      </c>
    </row>
    <row r="17" spans="1:25">
      <c r="A17" s="5" t="s">
        <v>61</v>
      </c>
      <c r="B17" s="6">
        <v>100</v>
      </c>
      <c r="C17" s="6">
        <v>133</v>
      </c>
      <c r="D17" s="6">
        <v>10</v>
      </c>
      <c r="E17" s="6">
        <v>9</v>
      </c>
      <c r="F17" s="6">
        <v>3</v>
      </c>
      <c r="G17" s="6">
        <v>1000</v>
      </c>
      <c r="H17" s="5" t="s">
        <v>23</v>
      </c>
      <c r="J17" s="7">
        <v>1</v>
      </c>
      <c r="K17" s="7">
        <v>0</v>
      </c>
      <c r="L17" s="7">
        <v>0</v>
      </c>
      <c r="X17" s="10" t="s">
        <v>62</v>
      </c>
      <c r="Y17" s="11">
        <f>2500*0.3</f>
        <v>750</v>
      </c>
    </row>
    <row r="18" spans="1:25">
      <c r="A18" s="5" t="s">
        <v>63</v>
      </c>
      <c r="B18" s="6">
        <v>100</v>
      </c>
      <c r="C18" s="6">
        <v>318</v>
      </c>
      <c r="D18" s="6">
        <v>12</v>
      </c>
      <c r="E18" s="6">
        <v>26</v>
      </c>
      <c r="F18" s="6">
        <v>9</v>
      </c>
      <c r="G18" s="6">
        <v>2200</v>
      </c>
      <c r="H18" s="5" t="s">
        <v>30</v>
      </c>
      <c r="J18" s="7">
        <v>0</v>
      </c>
      <c r="K18" s="7">
        <v>0</v>
      </c>
      <c r="L18" s="7">
        <v>0</v>
      </c>
    </row>
    <row r="20" spans="1:25" ht="18" customHeight="1"/>
  </sheetData>
  <mergeCells count="3">
    <mergeCell ref="X1:Y1"/>
    <mergeCell ref="Z1:AG1"/>
    <mergeCell ref="S1:W1"/>
  </mergeCells>
  <phoneticPr fontId="10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식단 최적화 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황다영</cp:lastModifiedBy>
  <dcterms:created xsi:type="dcterms:W3CDTF">2025-11-23T10:31:12Z</dcterms:created>
  <dcterms:modified xsi:type="dcterms:W3CDTF">2025-11-28T07:53:22Z</dcterms:modified>
</cp:coreProperties>
</file>